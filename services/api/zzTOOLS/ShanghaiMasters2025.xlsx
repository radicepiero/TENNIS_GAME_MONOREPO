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<sst xmlns="http://schemas.openxmlformats.org/spreadsheetml/2006/main" count="57" uniqueCount="30">
  <si>
    <t>Informazioni cronologiche</t>
  </si>
  <si>
    <t>Indirizzo email</t>
  </si>
  <si>
    <t xml:space="preserve">AND THE WINNER IS: </t>
  </si>
  <si>
    <t>SEMIFINALISTA 1</t>
  </si>
  <si>
    <t>SEMIFINALISTA 2</t>
  </si>
  <si>
    <t>SEMIFINALISTA 3</t>
  </si>
  <si>
    <t>Colonna 1</t>
  </si>
  <si>
    <t>luigipeluso15@gmail.com</t>
  </si>
  <si>
    <t>2 Jannik Sinner 80</t>
  </si>
  <si>
    <t>22 Flavio Cobolli 160</t>
  </si>
  <si>
    <t>4 Taylor Fritz 20</t>
  </si>
  <si>
    <t>5 Novak Djokovic 40</t>
  </si>
  <si>
    <t>lombo68@hotmail.com</t>
  </si>
  <si>
    <t>6 Ben Shelton 40</t>
  </si>
  <si>
    <t>11 Holger Rune 80</t>
  </si>
  <si>
    <t>maurizio.colombo.web@gmail.com</t>
  </si>
  <si>
    <t>9 Lorenzo Musetti 80</t>
  </si>
  <si>
    <t>71 Matteo Arnaldi 640</t>
  </si>
  <si>
    <t>pamelavecchietti75@gmail.com</t>
  </si>
  <si>
    <t>18 Daniil Medvedev 160</t>
  </si>
  <si>
    <t>matogrelu@gmail.com</t>
  </si>
  <si>
    <t>michela_radice@alice.it</t>
  </si>
  <si>
    <t>martina.creti21@libero.it</t>
  </si>
  <si>
    <t>7 Alex de Minaur 40</t>
  </si>
  <si>
    <t>nataliaricco74@gmail.com</t>
  </si>
  <si>
    <t>10 Karen Khachanov 80</t>
  </si>
  <si>
    <t>pierluigi.giovati@gmail.com</t>
  </si>
  <si>
    <t>35 Gabriel Diallo 320</t>
  </si>
  <si>
    <t>121 Yunchaokete Bu 640</t>
  </si>
  <si>
    <t>radice.p@gmail.com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</si>
</sst>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Form_Responses" name="Form_Responses" id="1">
  <tableColumns count="7">
    <tableColumn name="Informazioni cronologiche" id="1"/>
    <tableColumn name="Indirizzo email" id="2"/>
    <tableColumn name="AND THE WINNER IS: " id="3"/>
    <tableColumn name="SEMIFINALISTA 1" id="4"/>
    <tableColumn name="SEMIFINALISTA 2" id="5"/>
    <tableColumn name="SEMIFINALISTA 3" id="6"/>
    <tableColumn name="Colonna 1" id="7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18.88"/>
    <col customWidth="1" min="3" max="3" width="21.25"/>
    <col customWidth="1" min="4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45932.724540868054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>
        <f>80+160+20+40</f>
        <v>300</v>
      </c>
    </row>
    <row r="3" ht="22.5" customHeight="1">
      <c r="A3" s="6">
        <v>45932.72634267361</v>
      </c>
      <c r="B3" s="7" t="s">
        <v>12</v>
      </c>
      <c r="C3" s="7" t="s">
        <v>8</v>
      </c>
      <c r="D3" s="7" t="s">
        <v>13</v>
      </c>
      <c r="E3" s="7" t="s">
        <v>11</v>
      </c>
      <c r="F3" s="7" t="s">
        <v>14</v>
      </c>
      <c r="G3" s="4">
        <f>80+40+40+80</f>
        <v>240</v>
      </c>
    </row>
    <row r="4" ht="22.5" customHeight="1">
      <c r="A4" s="6">
        <v>45932.740775451384</v>
      </c>
      <c r="B4" s="7" t="s">
        <v>15</v>
      </c>
      <c r="C4" s="7" t="s">
        <v>8</v>
      </c>
      <c r="D4" s="7" t="s">
        <v>13</v>
      </c>
      <c r="E4" s="7" t="s">
        <v>16</v>
      </c>
      <c r="F4" s="7" t="s">
        <v>17</v>
      </c>
      <c r="G4" s="5">
        <f>80+40+80+640</f>
        <v>840</v>
      </c>
    </row>
    <row r="5" ht="22.5" customHeight="1">
      <c r="A5" s="6">
        <v>45932.779952337965</v>
      </c>
      <c r="B5" s="7" t="s">
        <v>18</v>
      </c>
      <c r="C5" s="7" t="s">
        <v>8</v>
      </c>
      <c r="D5" s="7" t="s">
        <v>19</v>
      </c>
      <c r="E5" s="7" t="s">
        <v>10</v>
      </c>
      <c r="F5" s="7" t="s">
        <v>11</v>
      </c>
      <c r="G5" s="5">
        <f>80+160+20+40</f>
        <v>300</v>
      </c>
    </row>
    <row r="6" ht="22.5" customHeight="1">
      <c r="A6" s="6">
        <v>45932.83479828703</v>
      </c>
      <c r="B6" s="7" t="s">
        <v>20</v>
      </c>
      <c r="C6" s="7" t="s">
        <v>8</v>
      </c>
      <c r="D6" s="7" t="s">
        <v>19</v>
      </c>
      <c r="E6" s="7" t="s">
        <v>11</v>
      </c>
      <c r="F6" s="7" t="s">
        <v>16</v>
      </c>
      <c r="G6" s="5">
        <f>80+160+40+80</f>
        <v>360</v>
      </c>
    </row>
    <row r="7" ht="22.5" customHeight="1">
      <c r="A7" s="6">
        <v>45932.88515403935</v>
      </c>
      <c r="B7" s="7" t="s">
        <v>21</v>
      </c>
      <c r="C7" s="7" t="s">
        <v>8</v>
      </c>
      <c r="D7" s="7" t="s">
        <v>9</v>
      </c>
      <c r="E7" s="7" t="s">
        <v>10</v>
      </c>
      <c r="F7" s="7" t="s">
        <v>16</v>
      </c>
      <c r="G7" s="5">
        <f>80+160+20+80</f>
        <v>340</v>
      </c>
    </row>
    <row r="8" ht="22.5" customHeight="1">
      <c r="A8" s="6">
        <v>45932.88915325231</v>
      </c>
      <c r="B8" s="7" t="s">
        <v>22</v>
      </c>
      <c r="C8" s="7" t="s">
        <v>8</v>
      </c>
      <c r="D8" s="7" t="s">
        <v>16</v>
      </c>
      <c r="E8" s="7" t="s">
        <v>11</v>
      </c>
      <c r="F8" s="7" t="s">
        <v>23</v>
      </c>
      <c r="G8" s="5">
        <f>80+80+40+40</f>
        <v>240</v>
      </c>
    </row>
    <row r="9" ht="22.5" customHeight="1">
      <c r="A9" s="6">
        <v>45932.91801930555</v>
      </c>
      <c r="B9" s="7" t="s">
        <v>24</v>
      </c>
      <c r="C9" s="7" t="s">
        <v>8</v>
      </c>
      <c r="D9" s="7" t="s">
        <v>10</v>
      </c>
      <c r="E9" s="7" t="s">
        <v>25</v>
      </c>
      <c r="F9" s="7" t="s">
        <v>16</v>
      </c>
      <c r="G9" s="5">
        <f>80+20+80+80</f>
        <v>260</v>
      </c>
    </row>
    <row r="10" ht="22.5" customHeight="1">
      <c r="A10" s="6">
        <v>45932.94891818287</v>
      </c>
      <c r="B10" s="7" t="s">
        <v>26</v>
      </c>
      <c r="C10" s="7" t="s">
        <v>8</v>
      </c>
      <c r="D10" s="7" t="s">
        <v>23</v>
      </c>
      <c r="E10" s="7" t="s">
        <v>27</v>
      </c>
      <c r="F10" s="7" t="s">
        <v>28</v>
      </c>
      <c r="G10" s="5">
        <f>80+40+320+640</f>
        <v>1080</v>
      </c>
    </row>
    <row r="11" ht="22.5" customHeight="1">
      <c r="A11" s="6">
        <v>45933.353381458335</v>
      </c>
      <c r="B11" s="7" t="s">
        <v>29</v>
      </c>
      <c r="C11" s="7" t="s">
        <v>8</v>
      </c>
      <c r="D11" s="7" t="s">
        <v>27</v>
      </c>
      <c r="E11" s="7" t="s">
        <v>11</v>
      </c>
      <c r="F11" s="7" t="s">
        <v>16</v>
      </c>
      <c r="G11" s="5">
        <f>80+320+40+80</f>
        <v>520</v>
      </c>
    </row>
  </sheetData>
  <drawing r:id="rId1"/>
  <tableParts count="1">
    <tablePart r:id="rId3"/>
  </tableParts>
</worksheet>
</file>